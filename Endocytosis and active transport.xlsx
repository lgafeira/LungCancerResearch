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cmunlpt-my.sharepoint.com/personal/jacinta_serpa_fcm_unl_pt/Documents/Adriana/Pulmão/Final/Submitted/Revised 2/FL cytometry/"/>
    </mc:Choice>
  </mc:AlternateContent>
  <bookViews>
    <workbookView xWindow="0" yWindow="0" windowWidth="28800" windowHeight="1218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1" l="1"/>
  <c r="J12" i="1"/>
  <c r="G12" i="1"/>
  <c r="D12" i="1"/>
  <c r="M11" i="1"/>
  <c r="J11" i="1"/>
  <c r="G11" i="1"/>
  <c r="D11" i="1"/>
  <c r="M23" i="1"/>
  <c r="J23" i="1"/>
  <c r="G23" i="1"/>
  <c r="D23" i="1"/>
  <c r="M22" i="1"/>
  <c r="J22" i="1"/>
  <c r="G22" i="1"/>
  <c r="D22" i="1"/>
</calcChain>
</file>

<file path=xl/sharedStrings.xml><?xml version="1.0" encoding="utf-8"?>
<sst xmlns="http://schemas.openxmlformats.org/spreadsheetml/2006/main" count="44" uniqueCount="12">
  <si>
    <t>PC-9</t>
  </si>
  <si>
    <t>37ºC</t>
  </si>
  <si>
    <t>4ºC</t>
  </si>
  <si>
    <t>OEI 1</t>
  </si>
  <si>
    <t>OEI plus Gef</t>
  </si>
  <si>
    <t>N1</t>
  </si>
  <si>
    <t>N2</t>
  </si>
  <si>
    <t>N3</t>
  </si>
  <si>
    <t>%FITC total</t>
  </si>
  <si>
    <t>Average</t>
  </si>
  <si>
    <t>STDev</t>
  </si>
  <si>
    <t>H292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</si>
</sst>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2" fontId="0" fillId="2" borderId="4" xfId="0" applyNumberFormat="1" applyFill="1" applyBorder="1"/>
    <xf numFmtId="2" fontId="0" fillId="2" borderId="0" xfId="0" applyNumberFormat="1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23"/>
  <sheetViews>
    <sheetView tabSelected="1" workbookViewId="0">
      <selection activeCell="S29" sqref="S29"/>
    </sheetView>
  </sheetViews>
  <sheetFormatPr defaultRowHeight="15" x14ac:dyDescent="0.25"/>
  <sheetData>
    <row r="4" spans="3:15" x14ac:dyDescent="0.25">
      <c r="C4" s="4"/>
      <c r="D4" s="1" t="s">
        <v>11</v>
      </c>
    </row>
    <row r="5" spans="3:15" x14ac:dyDescent="0.25">
      <c r="D5" s="2" t="s">
        <v>1</v>
      </c>
      <c r="E5" s="2"/>
      <c r="F5" s="2"/>
      <c r="G5" s="2"/>
      <c r="H5" s="2"/>
      <c r="I5" s="2"/>
      <c r="J5" s="2" t="s">
        <v>2</v>
      </c>
      <c r="K5" s="2"/>
      <c r="L5" s="2"/>
      <c r="M5" s="2"/>
      <c r="N5" s="2"/>
      <c r="O5" s="2"/>
    </row>
    <row r="6" spans="3:15" x14ac:dyDescent="0.25">
      <c r="D6" s="2" t="s">
        <v>3</v>
      </c>
      <c r="E6" s="2"/>
      <c r="F6" s="2"/>
      <c r="G6" s="2" t="s">
        <v>4</v>
      </c>
      <c r="H6" s="2"/>
      <c r="I6" s="2"/>
      <c r="J6" s="2" t="s">
        <v>3</v>
      </c>
      <c r="K6" s="2"/>
      <c r="L6" s="2"/>
      <c r="M6" s="2" t="s">
        <v>4</v>
      </c>
      <c r="N6" s="2"/>
      <c r="O6" s="2"/>
    </row>
    <row r="7" spans="3:15" x14ac:dyDescent="0.25">
      <c r="D7" s="7" t="s">
        <v>5</v>
      </c>
      <c r="E7" s="8" t="s">
        <v>6</v>
      </c>
      <c r="F7" s="9" t="s">
        <v>7</v>
      </c>
      <c r="G7" s="7" t="s">
        <v>5</v>
      </c>
      <c r="H7" s="8" t="s">
        <v>6</v>
      </c>
      <c r="I7" s="9" t="s">
        <v>7</v>
      </c>
      <c r="J7" s="7" t="s">
        <v>5</v>
      </c>
      <c r="K7" s="8" t="s">
        <v>6</v>
      </c>
      <c r="L7" s="9" t="s">
        <v>7</v>
      </c>
      <c r="M7" s="7" t="s">
        <v>5</v>
      </c>
      <c r="N7" s="8" t="s">
        <v>6</v>
      </c>
      <c r="O7" s="9" t="s">
        <v>7</v>
      </c>
    </row>
    <row r="8" spans="3:15" x14ac:dyDescent="0.25">
      <c r="C8" s="3" t="s">
        <v>8</v>
      </c>
      <c r="D8" s="10">
        <v>39.92</v>
      </c>
      <c r="E8" s="11">
        <v>42.84</v>
      </c>
      <c r="F8" s="12">
        <v>43.95</v>
      </c>
      <c r="G8" s="10">
        <v>34.24</v>
      </c>
      <c r="H8" s="11">
        <v>38.75</v>
      </c>
      <c r="I8" s="12">
        <v>35.18</v>
      </c>
      <c r="J8" s="10">
        <v>31.7</v>
      </c>
      <c r="K8" s="11">
        <v>24.16</v>
      </c>
      <c r="L8" s="12">
        <v>20.100000000000001</v>
      </c>
      <c r="M8" s="10">
        <v>14.26</v>
      </c>
      <c r="N8" s="11">
        <v>15.12</v>
      </c>
      <c r="O8" s="12">
        <v>11.94</v>
      </c>
    </row>
    <row r="9" spans="3:15" x14ac:dyDescent="0.25">
      <c r="C9" s="4"/>
      <c r="D9" s="10">
        <v>56.91</v>
      </c>
      <c r="E9" s="11">
        <v>46.75</v>
      </c>
      <c r="F9" s="12">
        <v>53.519999999999996</v>
      </c>
      <c r="G9" s="10">
        <v>53.6</v>
      </c>
      <c r="H9" s="11">
        <v>47.58</v>
      </c>
      <c r="I9" s="12">
        <v>55.01</v>
      </c>
      <c r="J9" s="10">
        <v>30.633333333333333</v>
      </c>
      <c r="K9" s="11">
        <v>53.163333333333334</v>
      </c>
      <c r="L9" s="12">
        <v>37.183333333333337</v>
      </c>
      <c r="M9" s="10">
        <v>27.723333333333333</v>
      </c>
      <c r="N9" s="11">
        <v>42.783333333333339</v>
      </c>
      <c r="O9" s="12">
        <v>34.243333333333339</v>
      </c>
    </row>
    <row r="10" spans="3:15" x14ac:dyDescent="0.25">
      <c r="C10" s="4"/>
      <c r="D10" s="13">
        <v>58.3</v>
      </c>
      <c r="E10" s="14">
        <v>59.339999999999996</v>
      </c>
      <c r="F10" s="15">
        <v>34.82</v>
      </c>
      <c r="G10" s="13">
        <v>65.94</v>
      </c>
      <c r="H10" s="14">
        <v>36.959999999999994</v>
      </c>
      <c r="I10" s="15">
        <v>36.58</v>
      </c>
      <c r="J10" s="13">
        <v>18.773333333333333</v>
      </c>
      <c r="K10" s="14">
        <v>25.973333333333333</v>
      </c>
      <c r="L10" s="15">
        <v>22.383333333333333</v>
      </c>
      <c r="M10" s="13">
        <v>26.753333333333334</v>
      </c>
      <c r="N10" s="14">
        <v>36.38333333333334</v>
      </c>
      <c r="O10" s="15">
        <v>55.193333333333335</v>
      </c>
    </row>
    <row r="11" spans="3:15" x14ac:dyDescent="0.25">
      <c r="C11" s="5" t="s">
        <v>9</v>
      </c>
      <c r="D11" s="6">
        <f>AVERAGE(D8:F10)</f>
        <v>48.483333333333327</v>
      </c>
      <c r="E11" s="6"/>
      <c r="F11" s="6"/>
      <c r="G11" s="6">
        <f>AVERAGE(G8:I10)</f>
        <v>44.871111111111105</v>
      </c>
      <c r="H11" s="6"/>
      <c r="I11" s="6"/>
      <c r="J11" s="6">
        <f>AVERAGE(J8:L10)</f>
        <v>29.341111111111111</v>
      </c>
      <c r="K11" s="6"/>
      <c r="L11" s="6"/>
      <c r="M11" s="6">
        <f>AVERAGE(M8:O10)</f>
        <v>29.37777777777778</v>
      </c>
      <c r="N11" s="6"/>
      <c r="O11" s="6"/>
    </row>
    <row r="12" spans="3:15" x14ac:dyDescent="0.25">
      <c r="C12" s="5" t="s">
        <v>10</v>
      </c>
      <c r="D12" s="6">
        <f>STDEV(D8:F10)</f>
        <v>8.8461220317153852</v>
      </c>
      <c r="E12" s="6"/>
      <c r="F12" s="6"/>
      <c r="G12" s="6">
        <f>STDEV(G8:I10)</f>
        <v>11.213613873819252</v>
      </c>
      <c r="H12" s="6"/>
      <c r="I12" s="6"/>
      <c r="J12" s="6">
        <f>STDEV(J8:L10)</f>
        <v>10.723254455206739</v>
      </c>
      <c r="K12" s="6"/>
      <c r="L12" s="6"/>
      <c r="M12" s="6">
        <f>STDEV(M8:O10)</f>
        <v>14.424093077594552</v>
      </c>
      <c r="N12" s="6"/>
      <c r="O12" s="6"/>
    </row>
    <row r="13" spans="3:15" x14ac:dyDescent="0.25">
      <c r="C13" s="4"/>
    </row>
    <row r="15" spans="3:15" x14ac:dyDescent="0.25">
      <c r="D15" s="1" t="s">
        <v>0</v>
      </c>
    </row>
    <row r="16" spans="3:15" x14ac:dyDescent="0.25">
      <c r="D16" s="2" t="s">
        <v>1</v>
      </c>
      <c r="E16" s="2"/>
      <c r="F16" s="2"/>
      <c r="G16" s="2"/>
      <c r="H16" s="2"/>
      <c r="I16" s="2"/>
      <c r="J16" s="2" t="s">
        <v>2</v>
      </c>
      <c r="K16" s="2"/>
      <c r="L16" s="2"/>
      <c r="M16" s="2"/>
      <c r="N16" s="2"/>
      <c r="O16" s="2"/>
    </row>
    <row r="17" spans="3:15" x14ac:dyDescent="0.25">
      <c r="D17" s="2" t="s">
        <v>3</v>
      </c>
      <c r="E17" s="2"/>
      <c r="F17" s="2"/>
      <c r="G17" s="2" t="s">
        <v>4</v>
      </c>
      <c r="H17" s="2"/>
      <c r="I17" s="2"/>
      <c r="J17" s="2" t="s">
        <v>3</v>
      </c>
      <c r="K17" s="2"/>
      <c r="L17" s="2"/>
      <c r="M17" s="2" t="s">
        <v>4</v>
      </c>
      <c r="N17" s="2"/>
      <c r="O17" s="2"/>
    </row>
    <row r="18" spans="3:15" x14ac:dyDescent="0.25">
      <c r="D18" s="7" t="s">
        <v>5</v>
      </c>
      <c r="E18" s="8" t="s">
        <v>6</v>
      </c>
      <c r="F18" s="9" t="s">
        <v>7</v>
      </c>
      <c r="G18" s="7" t="s">
        <v>5</v>
      </c>
      <c r="H18" s="8" t="s">
        <v>6</v>
      </c>
      <c r="I18" s="9" t="s">
        <v>7</v>
      </c>
      <c r="J18" s="7" t="s">
        <v>5</v>
      </c>
      <c r="K18" s="8" t="s">
        <v>6</v>
      </c>
      <c r="L18" s="9" t="s">
        <v>7</v>
      </c>
      <c r="M18" s="7" t="s">
        <v>5</v>
      </c>
      <c r="N18" s="8" t="s">
        <v>6</v>
      </c>
      <c r="O18" s="9" t="s">
        <v>7</v>
      </c>
    </row>
    <row r="19" spans="3:15" x14ac:dyDescent="0.25">
      <c r="C19" s="3" t="s">
        <v>8</v>
      </c>
      <c r="D19" s="16">
        <v>45.423333333333332</v>
      </c>
      <c r="E19" s="17">
        <v>15.973333333333334</v>
      </c>
      <c r="F19" s="18">
        <v>42.93333333333333</v>
      </c>
      <c r="G19" s="16">
        <v>50.473333333333329</v>
      </c>
      <c r="H19" s="17">
        <v>49.833333333333329</v>
      </c>
      <c r="I19" s="18">
        <v>55.43333333333333</v>
      </c>
      <c r="J19" s="16">
        <v>43.793333333333329</v>
      </c>
      <c r="K19" s="17">
        <v>43.36333333333333</v>
      </c>
      <c r="L19" s="18">
        <v>43.403333333333329</v>
      </c>
      <c r="M19" s="16">
        <v>30.973333333333333</v>
      </c>
      <c r="N19" s="17">
        <v>25.083333333333332</v>
      </c>
      <c r="O19" s="18">
        <v>25.823333333333334</v>
      </c>
    </row>
    <row r="20" spans="3:15" x14ac:dyDescent="0.25">
      <c r="C20" s="4"/>
      <c r="D20" s="16">
        <v>38.633333333333333</v>
      </c>
      <c r="E20" s="17">
        <v>48.023333333333333</v>
      </c>
      <c r="F20" s="18">
        <v>53.083333333333329</v>
      </c>
      <c r="G20" s="16">
        <v>50.263333333333328</v>
      </c>
      <c r="H20" s="17">
        <v>49.423333333333332</v>
      </c>
      <c r="I20" s="18">
        <v>60.303333333333335</v>
      </c>
      <c r="J20" s="16">
        <v>48.286666666666669</v>
      </c>
      <c r="K20" s="17">
        <v>36.436666666666667</v>
      </c>
      <c r="L20" s="18">
        <v>42.206666666666671</v>
      </c>
      <c r="M20" s="16">
        <v>28.106666666666669</v>
      </c>
      <c r="N20" s="17">
        <v>31.926666666666669</v>
      </c>
      <c r="O20" s="18">
        <v>6.6466666666666665</v>
      </c>
    </row>
    <row r="21" spans="3:15" x14ac:dyDescent="0.25">
      <c r="C21" s="4"/>
      <c r="D21" s="19">
        <v>61.5</v>
      </c>
      <c r="E21" s="20">
        <v>27.89</v>
      </c>
      <c r="F21" s="21">
        <v>39.369999999999997</v>
      </c>
      <c r="G21" s="19">
        <v>52.25</v>
      </c>
      <c r="H21" s="20">
        <v>52.309999999999995</v>
      </c>
      <c r="I21" s="21">
        <v>72.12</v>
      </c>
      <c r="J21" s="19">
        <v>27.8</v>
      </c>
      <c r="K21" s="20">
        <v>27.240000000000002</v>
      </c>
      <c r="L21" s="21">
        <v>30.5</v>
      </c>
      <c r="M21" s="19">
        <v>37.200000000000003</v>
      </c>
      <c r="N21" s="20">
        <v>28.6</v>
      </c>
      <c r="O21" s="21">
        <v>26.490000000000002</v>
      </c>
    </row>
    <row r="22" spans="3:15" x14ac:dyDescent="0.25">
      <c r="C22" s="5" t="s">
        <v>9</v>
      </c>
      <c r="D22" s="6">
        <f>AVERAGE(D19:F21)</f>
        <v>41.425555555555555</v>
      </c>
      <c r="E22" s="6"/>
      <c r="F22" s="6"/>
      <c r="G22" s="6">
        <f>AVERAGE(G19:I21)</f>
        <v>54.712222222222216</v>
      </c>
      <c r="H22" s="6"/>
      <c r="I22" s="6"/>
      <c r="J22" s="6">
        <f>AVERAGE(J19:L21)</f>
        <v>38.114444444444445</v>
      </c>
      <c r="K22" s="6"/>
      <c r="L22" s="6"/>
      <c r="M22" s="6">
        <f>AVERAGE(M19:O21)</f>
        <v>26.761111111111109</v>
      </c>
      <c r="N22" s="6"/>
      <c r="O22" s="6"/>
    </row>
    <row r="23" spans="3:15" x14ac:dyDescent="0.25">
      <c r="C23" s="5" t="s">
        <v>10</v>
      </c>
      <c r="D23" s="6">
        <f>STDEV(D19:F21)</f>
        <v>13.433735932759404</v>
      </c>
      <c r="E23" s="6"/>
      <c r="F23" s="6"/>
      <c r="G23" s="6">
        <f>STDEV(G19:I21)</f>
        <v>7.3839450461419824</v>
      </c>
      <c r="H23" s="6"/>
      <c r="I23" s="6"/>
      <c r="J23" s="6">
        <f>STDEV(J19:L21)</f>
        <v>7.8535768567223094</v>
      </c>
      <c r="K23" s="6"/>
      <c r="L23" s="6"/>
      <c r="M23" s="6">
        <f>STDEV(M19:O21)</f>
        <v>8.4183353131390906</v>
      </c>
      <c r="N23" s="6"/>
      <c r="O23" s="6"/>
    </row>
  </sheetData>
  <mergeCells count="28">
    <mergeCell ref="D11:F11"/>
    <mergeCell ref="G11:I11"/>
    <mergeCell ref="J11:L11"/>
    <mergeCell ref="M11:O11"/>
    <mergeCell ref="D12:F12"/>
    <mergeCell ref="G12:I12"/>
    <mergeCell ref="J12:L12"/>
    <mergeCell ref="M12:O12"/>
    <mergeCell ref="D5:I5"/>
    <mergeCell ref="J5:O5"/>
    <mergeCell ref="D6:F6"/>
    <mergeCell ref="G6:I6"/>
    <mergeCell ref="J6:L6"/>
    <mergeCell ref="M6:O6"/>
    <mergeCell ref="D22:F22"/>
    <mergeCell ref="G22:I22"/>
    <mergeCell ref="J22:L22"/>
    <mergeCell ref="M22:O22"/>
    <mergeCell ref="D23:F23"/>
    <mergeCell ref="G23:I23"/>
    <mergeCell ref="J23:L23"/>
    <mergeCell ref="M23:O23"/>
    <mergeCell ref="D16:I16"/>
    <mergeCell ref="J16:O16"/>
    <mergeCell ref="D17:F17"/>
    <mergeCell ref="G17:I17"/>
    <mergeCell ref="J17:L17"/>
    <mergeCell ref="M17:O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98F47A7F28CA408C8F3423049AEFDF" ma:contentTypeVersion="19" ma:contentTypeDescription="Criar um novo documento." ma:contentTypeScope="" ma:versionID="b86732a96c713efe00cac13c22b1e202">
  <xsd:schema xmlns:xsd="http://www.w3.org/2001/XMLSchema" xmlns:xs="http://www.w3.org/2001/XMLSchema" xmlns:p="http://schemas.microsoft.com/office/2006/metadata/properties" xmlns:ns3="828d2c79-fa85-41a0-aef6-6f880d12c542" xmlns:ns4="2e9d2e17-a77c-4deb-8c49-0ba213a043e2" targetNamespace="http://schemas.microsoft.com/office/2006/metadata/properties" ma:root="true" ma:fieldsID="beaf1891437e1135d95205324c3914c1" ns3:_="" ns4:_="">
    <xsd:import namespace="828d2c79-fa85-41a0-aef6-6f880d12c542"/>
    <xsd:import namespace="2e9d2e17-a77c-4deb-8c49-0ba213a043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d2c79-fa85-41a0-aef6-6f880d12c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d2e17-a77c-4deb-8c49-0ba213a04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8d2c79-fa85-41a0-aef6-6f880d12c542" xsi:nil="true"/>
  </documentManagement>
</p:properties>
</file>

<file path=customXml/itemProps1.xml><?xml version="1.0" encoding="utf-8"?>
<ds:datastoreItem xmlns:ds="http://schemas.openxmlformats.org/officeDocument/2006/customXml" ds:itemID="{AC857703-8FEA-4358-89BE-609A24B4F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8d2c79-fa85-41a0-aef6-6f880d12c542"/>
    <ds:schemaRef ds:uri="2e9d2e17-a77c-4deb-8c49-0ba213a04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5AE488-AD1D-4F7A-BB49-CD02114307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7192C-E345-4A63-A3EB-2C26142087D8}">
  <ds:schemaRefs>
    <ds:schemaRef ds:uri="828d2c79-fa85-41a0-aef6-6f880d12c542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e9d2e17-a77c-4deb-8c49-0ba213a043e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Serpa</dc:creator>
  <cp:lastModifiedBy>Jacinta Serpa</cp:lastModifiedBy>
  <dcterms:created xsi:type="dcterms:W3CDTF">2026-02-12T14:00:51Z</dcterms:created>
  <dcterms:modified xsi:type="dcterms:W3CDTF">2026-02-12T14:02:54Z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0x0101000A98F47A7F28CA408C8F3423049AEFDF</vt:lpwstr>
  </property>
</Properties>
</file>